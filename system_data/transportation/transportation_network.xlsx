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725" tabRatio="600" firstSheet="0" activeTab="2" autoFilterDateGrouping="1"/>
  </bookViews>
  <sheets>
    <sheet name="link info" sheetId="1" state="visible" r:id="rId1"/>
    <sheet name="OD info" sheetId="2" state="visible" r:id="rId2"/>
    <sheet name="time_demand" sheetId="3" state="visible" r:id="rId3"/>
    <sheet name="price" sheetId="4" state="visible" r:id="rId4"/>
    <sheet name="Sheet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_ "/>
  </numFmts>
  <fonts count="24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Tahoma"/>
      <charset val="134"/>
      <color theme="1"/>
      <sz val="11"/>
    </font>
    <font>
      <name val="Times New Roman"/>
      <charset val="134"/>
      <sz val="11"/>
    </font>
    <font>
      <name val="Times New Roman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time_demand!$B$1</f>
              <strCache>
                <ptCount val="1"/>
                <pt idx="0">
                  <v>demand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elete val="1"/>
          </dLbls>
          <val>
            <numRef>
              <f>time_demand!$B$2:$B$25</f>
              <numCache>
                <formatCode xml:space="preserve">0.00_ </formatCode>
                <ptCount val="24"/>
                <pt idx="0">
                  <v>0.5205905493148481</v>
                </pt>
                <pt idx="1">
                  <v>0.525155710014194</v>
                </pt>
                <pt idx="2">
                  <v>0.552247916096854</v>
                </pt>
                <pt idx="3">
                  <v>0.664525458948574</v>
                </pt>
                <pt idx="4">
                  <v>0.984110556036176</v>
                </pt>
                <pt idx="5">
                  <v>1.58790732296897</v>
                </pt>
                <pt idx="6">
                  <v>2.2806816037125</v>
                </pt>
                <pt idx="7">
                  <v>2.6</v>
                </pt>
                <pt idx="8">
                  <v>2.28068803684488</v>
                </pt>
                <pt idx="9">
                  <v>1.58797676831208</v>
                </pt>
                <pt idx="10">
                  <v>0.98469202444687</v>
                </pt>
                <pt idx="11">
                  <v>0.668317109536644</v>
                </pt>
                <pt idx="12">
                  <v>0.571503506630986</v>
                </pt>
                <pt idx="13">
                  <v>0.60131304792192</v>
                </pt>
                <pt idx="14">
                  <v>0.7551716647069679</v>
                </pt>
                <pt idx="15">
                  <v>1.08277923148168</v>
                </pt>
                <pt idx="16">
                  <v>1.57132237896959</v>
                </pt>
                <pt idx="17">
                  <v>2.04966104910906</v>
                </pt>
                <pt idx="18">
                  <v>2.25333293142576</v>
                </pt>
                <pt idx="19">
                  <v>2.04966092901044</v>
                </pt>
                <pt idx="20">
                  <v>1.57131952737642</v>
                </pt>
                <pt idx="21">
                  <v>1.08273074856004</v>
                </pt>
                <pt idx="22">
                  <v>0.754581021806748</v>
                </pt>
                <pt idx="23">
                  <v>0.596157244322354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546816872"/>
        <axId val="73652434"/>
      </barChart>
      <catAx>
        <axId val="546816872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73652434"/>
        <crosses val="autoZero"/>
        <auto val="1"/>
        <lblAlgn val="ctr"/>
        <lblOffset val="100"/>
        <noMultiLvlLbl val="0"/>
      </catAx>
      <valAx>
        <axId val="7365243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0.00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546816872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254000</colOff>
      <row>1</row>
      <rowOff>6985</rowOff>
    </from>
    <to>
      <col>10</col>
      <colOff>490855</colOff>
      <row>19</row>
      <rowOff>22225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388610" y="186055"/>
          <a:ext cx="2139950" cy="323850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118110</colOff>
      <row>0</row>
      <rowOff>127000</rowOff>
    </from>
    <to>
      <col>8</col>
      <colOff>354965</colOff>
      <row>18</row>
      <rowOff>167640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647440" y="127000"/>
          <a:ext cx="2139950" cy="323850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514350</colOff>
      <row>4</row>
      <rowOff>81280</rowOff>
    </from>
    <to>
      <col>11</col>
      <colOff>463550</colOff>
      <row>20</row>
      <rowOff>37465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opLeftCell="A20" zoomScale="235" zoomScaleNormal="235" workbookViewId="0">
      <selection activeCell="D39" sqref="D39"/>
    </sheetView>
  </sheetViews>
  <sheetFormatPr baseColWidth="8" defaultColWidth="9" defaultRowHeight="14.1"/>
  <cols>
    <col width="9" customWidth="1" style="2" min="1" max="4"/>
    <col width="18" customWidth="1" style="2" min="5" max="5"/>
    <col width="9.84684684684685" customWidth="1" style="2" min="6" max="6"/>
    <col width="9" customWidth="1" style="2" min="7" max="16384"/>
  </cols>
  <sheetData>
    <row r="1">
      <c r="A1" s="6" t="n"/>
      <c r="B1" s="6" t="inlineStr">
        <is>
          <t>link-i</t>
        </is>
      </c>
      <c r="C1" s="6" t="inlineStr">
        <is>
          <t>link-j</t>
        </is>
      </c>
      <c r="D1" s="6" t="inlineStr">
        <is>
          <t>capacity</t>
        </is>
      </c>
      <c r="E1" s="7" t="inlineStr">
        <is>
          <t>free-flow travel time</t>
        </is>
      </c>
      <c r="F1" s="2" t="inlineStr">
        <is>
          <t>distance</t>
        </is>
      </c>
    </row>
    <row r="2">
      <c r="A2" s="6" t="n">
        <v>1</v>
      </c>
      <c r="B2" s="2" t="n">
        <v>1</v>
      </c>
      <c r="C2" s="2" t="n">
        <v>3</v>
      </c>
      <c r="D2" s="2" t="n">
        <v>144</v>
      </c>
      <c r="E2" s="10" t="n">
        <v>6</v>
      </c>
      <c r="F2" s="10">
        <f>E2*2.5</f>
        <v/>
      </c>
    </row>
    <row r="3">
      <c r="A3" s="6" t="n">
        <v>2</v>
      </c>
      <c r="B3" s="2" t="n">
        <v>1</v>
      </c>
      <c r="C3" s="2" t="n">
        <v>2</v>
      </c>
      <c r="D3" s="2" t="n">
        <v>160</v>
      </c>
      <c r="E3" s="10" t="n">
        <v>10</v>
      </c>
      <c r="F3" s="10">
        <f>E3*2.5</f>
        <v/>
      </c>
    </row>
    <row r="4">
      <c r="A4" s="6" t="n">
        <v>3</v>
      </c>
      <c r="B4" s="2" t="n">
        <v>2</v>
      </c>
      <c r="C4" s="2" t="n">
        <v>6</v>
      </c>
      <c r="D4" s="2" t="n">
        <v>136</v>
      </c>
      <c r="E4" s="10" t="n">
        <v>6.5</v>
      </c>
      <c r="F4" s="10">
        <f>E4*2.5</f>
        <v/>
      </c>
    </row>
    <row r="5">
      <c r="A5" s="6" t="n">
        <v>4</v>
      </c>
      <c r="B5" s="2" t="n">
        <v>1</v>
      </c>
      <c r="C5" s="2" t="n">
        <v>4</v>
      </c>
      <c r="D5" s="2" t="n">
        <v>78</v>
      </c>
      <c r="E5" s="10" t="n">
        <v>5</v>
      </c>
      <c r="F5" s="10">
        <f>E5*2.5</f>
        <v/>
      </c>
    </row>
    <row r="6">
      <c r="A6" s="6" t="n">
        <v>5</v>
      </c>
      <c r="B6" s="2" t="n">
        <v>2</v>
      </c>
      <c r="C6" s="2" t="n">
        <v>5</v>
      </c>
      <c r="D6" s="2" t="n">
        <v>63</v>
      </c>
      <c r="E6" s="10" t="n">
        <v>5.5</v>
      </c>
      <c r="F6" s="10">
        <f>E6*2.5</f>
        <v/>
      </c>
    </row>
    <row r="7">
      <c r="A7" s="6" t="n">
        <v>6</v>
      </c>
      <c r="B7" s="2" t="n">
        <v>3</v>
      </c>
      <c r="C7" s="2" t="n">
        <v>4</v>
      </c>
      <c r="D7" s="2" t="n">
        <v>68</v>
      </c>
      <c r="E7" s="10" t="n">
        <v>6</v>
      </c>
      <c r="F7" s="10">
        <f>E7*2.5</f>
        <v/>
      </c>
    </row>
    <row r="8">
      <c r="A8" s="6" t="n">
        <v>7</v>
      </c>
      <c r="B8" s="2" t="n">
        <v>4</v>
      </c>
      <c r="C8" s="2" t="n">
        <v>5</v>
      </c>
      <c r="D8" s="2" t="n">
        <v>108</v>
      </c>
      <c r="E8" s="10" t="n">
        <v>12</v>
      </c>
      <c r="F8" s="10">
        <f>E8*2.5</f>
        <v/>
      </c>
    </row>
    <row r="9">
      <c r="A9" s="6" t="n">
        <v>8</v>
      </c>
      <c r="B9" s="2" t="n">
        <v>5</v>
      </c>
      <c r="C9" s="2" t="n">
        <v>6</v>
      </c>
      <c r="D9" s="2" t="n">
        <v>65</v>
      </c>
      <c r="E9" s="10" t="n">
        <v>6.5</v>
      </c>
      <c r="F9" s="10">
        <f>E9*2.5</f>
        <v/>
      </c>
    </row>
    <row r="10">
      <c r="A10" s="6" t="n">
        <v>9</v>
      </c>
      <c r="B10" s="2" t="n">
        <v>3</v>
      </c>
      <c r="C10" s="2" t="n">
        <v>7</v>
      </c>
      <c r="D10" s="2" t="n">
        <v>152</v>
      </c>
      <c r="E10" s="10" t="n">
        <v>10.2</v>
      </c>
      <c r="F10" s="10">
        <f>E10*2.5</f>
        <v/>
      </c>
    </row>
    <row r="11">
      <c r="A11" s="6" t="n">
        <v>10</v>
      </c>
      <c r="B11" s="2" t="n">
        <v>4</v>
      </c>
      <c r="C11" s="2" t="n">
        <v>8</v>
      </c>
      <c r="D11" s="2" t="n">
        <v>112</v>
      </c>
      <c r="E11" s="10" t="n">
        <v>11.5</v>
      </c>
      <c r="F11" s="10">
        <f>E11*2.5</f>
        <v/>
      </c>
    </row>
    <row r="12">
      <c r="A12" s="6" t="n">
        <v>11</v>
      </c>
      <c r="B12" s="2" t="n">
        <v>5</v>
      </c>
      <c r="C12" s="2" t="n">
        <v>9</v>
      </c>
      <c r="D12" s="2" t="n">
        <v>110</v>
      </c>
      <c r="E12" s="10" t="n">
        <v>12.5</v>
      </c>
      <c r="F12" s="10">
        <f>E12*2.5</f>
        <v/>
      </c>
    </row>
    <row r="13">
      <c r="A13" s="6" t="n">
        <v>12</v>
      </c>
      <c r="B13" s="2" t="n">
        <v>6</v>
      </c>
      <c r="C13" s="2" t="n">
        <v>10</v>
      </c>
      <c r="D13" s="2" t="n">
        <v>160</v>
      </c>
      <c r="E13" s="10" t="n">
        <v>10.5</v>
      </c>
      <c r="F13" s="10">
        <f>E13*2.5</f>
        <v/>
      </c>
    </row>
    <row r="14">
      <c r="A14" s="6" t="n">
        <v>13</v>
      </c>
      <c r="B14" s="2" t="n">
        <v>7</v>
      </c>
      <c r="C14" s="2" t="n">
        <v>8</v>
      </c>
      <c r="D14" s="2" t="n">
        <v>71</v>
      </c>
      <c r="E14" s="10" t="n">
        <v>5.8</v>
      </c>
      <c r="F14" s="10">
        <f>E14*2.5</f>
        <v/>
      </c>
    </row>
    <row r="15">
      <c r="A15" s="6" t="n">
        <v>14</v>
      </c>
      <c r="B15" s="2" t="n">
        <v>8</v>
      </c>
      <c r="C15" s="2" t="n">
        <v>9</v>
      </c>
      <c r="D15" s="2" t="n">
        <v>105</v>
      </c>
      <c r="E15" s="10" t="n">
        <v>11</v>
      </c>
      <c r="F15" s="10">
        <f>E15*2.5</f>
        <v/>
      </c>
    </row>
    <row r="16">
      <c r="A16" s="6" t="n">
        <v>15</v>
      </c>
      <c r="B16" s="2" t="n">
        <v>9</v>
      </c>
      <c r="C16" s="2" t="n">
        <v>10</v>
      </c>
      <c r="D16" s="2" t="n">
        <v>73</v>
      </c>
      <c r="E16" s="10" t="n">
        <v>5.9</v>
      </c>
      <c r="F16" s="10">
        <f>E16*2.5</f>
        <v/>
      </c>
    </row>
    <row r="17">
      <c r="A17" s="6" t="n">
        <v>16</v>
      </c>
      <c r="B17" s="2" t="n">
        <v>7</v>
      </c>
      <c r="C17" s="2" t="n">
        <v>11</v>
      </c>
      <c r="D17" s="2" t="n">
        <v>140</v>
      </c>
      <c r="E17" s="10" t="n">
        <v>6.3</v>
      </c>
      <c r="F17" s="10">
        <f>E17*2.5</f>
        <v/>
      </c>
    </row>
    <row r="18">
      <c r="A18" s="6" t="n">
        <v>17</v>
      </c>
      <c r="B18" s="2" t="n">
        <v>8</v>
      </c>
      <c r="C18" s="2" t="n">
        <v>11</v>
      </c>
      <c r="D18" s="2" t="n">
        <v>76</v>
      </c>
      <c r="E18" s="10" t="n">
        <v>5.7</v>
      </c>
      <c r="F18" s="10">
        <f>E18*2.5</f>
        <v/>
      </c>
    </row>
    <row r="19">
      <c r="A19" s="6" t="n">
        <v>18</v>
      </c>
      <c r="B19" s="2" t="n">
        <v>9</v>
      </c>
      <c r="C19" s="2" t="n">
        <v>12</v>
      </c>
      <c r="D19" s="2" t="n">
        <v>72</v>
      </c>
      <c r="E19" s="10" t="n">
        <v>5.8</v>
      </c>
      <c r="F19" s="10">
        <f>E19*2.5</f>
        <v/>
      </c>
    </row>
    <row r="20">
      <c r="A20" s="6" t="n">
        <v>19</v>
      </c>
      <c r="B20" s="2" t="n">
        <v>12</v>
      </c>
      <c r="C20" s="2" t="n">
        <v>10</v>
      </c>
      <c r="D20" s="2" t="n">
        <v>148</v>
      </c>
      <c r="E20" s="10" t="n">
        <v>6.1</v>
      </c>
      <c r="F20" s="10">
        <f>E20*2.5</f>
        <v/>
      </c>
    </row>
    <row r="21">
      <c r="A21" s="6" t="n">
        <v>20</v>
      </c>
      <c r="B21" s="2" t="n">
        <v>11</v>
      </c>
      <c r="C21" s="2" t="n">
        <v>12</v>
      </c>
      <c r="D21" s="2" t="n">
        <v>160</v>
      </c>
      <c r="E21" s="10" t="n">
        <v>9.800000000000001</v>
      </c>
      <c r="F21" s="10">
        <f>E21*2.5</f>
        <v/>
      </c>
    </row>
    <row r="22">
      <c r="A22" s="6" t="n">
        <v>21</v>
      </c>
      <c r="B22" s="2" t="n">
        <v>3</v>
      </c>
      <c r="C22" s="2" t="n">
        <v>1</v>
      </c>
      <c r="D22" s="2" t="n">
        <v>144</v>
      </c>
      <c r="E22" s="10" t="n">
        <v>6</v>
      </c>
      <c r="F22" s="10">
        <f>E22*2.5</f>
        <v/>
      </c>
    </row>
    <row r="23">
      <c r="A23" s="6" t="n">
        <v>22</v>
      </c>
      <c r="B23" s="2" t="n">
        <v>2</v>
      </c>
      <c r="C23" s="2" t="n">
        <v>1</v>
      </c>
      <c r="D23" s="2" t="n">
        <v>160</v>
      </c>
      <c r="E23" s="10" t="n">
        <v>10</v>
      </c>
      <c r="F23" s="10">
        <f>E23*2.5</f>
        <v/>
      </c>
    </row>
    <row r="24">
      <c r="A24" s="6" t="n">
        <v>23</v>
      </c>
      <c r="B24" s="2" t="n">
        <v>6</v>
      </c>
      <c r="C24" s="2" t="n">
        <v>2</v>
      </c>
      <c r="D24" s="2" t="n">
        <v>136</v>
      </c>
      <c r="E24" s="10" t="n">
        <v>6.5</v>
      </c>
      <c r="F24" s="10">
        <f>E24*2.5</f>
        <v/>
      </c>
    </row>
    <row r="25">
      <c r="A25" s="6" t="n">
        <v>24</v>
      </c>
      <c r="B25" s="2" t="n">
        <v>4</v>
      </c>
      <c r="C25" s="2" t="n">
        <v>1</v>
      </c>
      <c r="D25" s="2" t="n">
        <v>78</v>
      </c>
      <c r="E25" s="10" t="n">
        <v>5</v>
      </c>
      <c r="F25" s="10">
        <f>E25*2.5</f>
        <v/>
      </c>
    </row>
    <row r="26">
      <c r="A26" s="6" t="n">
        <v>25</v>
      </c>
      <c r="B26" s="2" t="n">
        <v>5</v>
      </c>
      <c r="C26" s="2" t="n">
        <v>2</v>
      </c>
      <c r="D26" s="2" t="n">
        <v>63</v>
      </c>
      <c r="E26" s="10" t="n">
        <v>5.5</v>
      </c>
      <c r="F26" s="10">
        <f>E26*2.5</f>
        <v/>
      </c>
    </row>
    <row r="27">
      <c r="A27" s="6" t="n">
        <v>26</v>
      </c>
      <c r="B27" s="2" t="n">
        <v>4</v>
      </c>
      <c r="C27" s="2" t="n">
        <v>3</v>
      </c>
      <c r="D27" s="2" t="n">
        <v>68</v>
      </c>
      <c r="E27" s="10" t="n">
        <v>6</v>
      </c>
      <c r="F27" s="10">
        <f>E27*2.5</f>
        <v/>
      </c>
    </row>
    <row r="28">
      <c r="A28" s="6" t="n">
        <v>27</v>
      </c>
      <c r="B28" s="2" t="n">
        <v>5</v>
      </c>
      <c r="C28" s="2" t="n">
        <v>4</v>
      </c>
      <c r="D28" s="2" t="n">
        <v>108</v>
      </c>
      <c r="E28" s="10" t="n">
        <v>12</v>
      </c>
      <c r="F28" s="10">
        <f>E28*2.5</f>
        <v/>
      </c>
    </row>
    <row r="29">
      <c r="A29" s="6" t="n">
        <v>28</v>
      </c>
      <c r="B29" s="2" t="n">
        <v>6</v>
      </c>
      <c r="C29" s="2" t="n">
        <v>5</v>
      </c>
      <c r="D29" s="2" t="n">
        <v>65</v>
      </c>
      <c r="E29" s="10" t="n">
        <v>6.5</v>
      </c>
      <c r="F29" s="10">
        <f>E29*2.5</f>
        <v/>
      </c>
    </row>
    <row r="30">
      <c r="A30" s="6" t="n">
        <v>29</v>
      </c>
      <c r="B30" s="2" t="n">
        <v>7</v>
      </c>
      <c r="C30" s="2" t="n">
        <v>3</v>
      </c>
      <c r="D30" s="2" t="n">
        <v>152</v>
      </c>
      <c r="E30" s="10" t="n">
        <v>10.2</v>
      </c>
      <c r="F30" s="10">
        <f>E30*2.5</f>
        <v/>
      </c>
    </row>
    <row r="31">
      <c r="A31" s="6" t="n">
        <v>30</v>
      </c>
      <c r="B31" s="2" t="n">
        <v>8</v>
      </c>
      <c r="C31" s="2" t="n">
        <v>4</v>
      </c>
      <c r="D31" s="2" t="n">
        <v>112</v>
      </c>
      <c r="E31" s="10" t="n">
        <v>11.5</v>
      </c>
      <c r="F31" s="10">
        <f>E31*2.5</f>
        <v/>
      </c>
    </row>
    <row r="32">
      <c r="A32" s="6" t="n">
        <v>31</v>
      </c>
      <c r="B32" s="2" t="n">
        <v>9</v>
      </c>
      <c r="C32" s="2" t="n">
        <v>5</v>
      </c>
      <c r="D32" s="2" t="n">
        <v>110</v>
      </c>
      <c r="E32" s="10" t="n">
        <v>12.5</v>
      </c>
      <c r="F32" s="10">
        <f>E32*2.5</f>
        <v/>
      </c>
    </row>
    <row r="33">
      <c r="A33" s="6" t="n">
        <v>32</v>
      </c>
      <c r="B33" s="2" t="n">
        <v>10</v>
      </c>
      <c r="C33" s="2" t="n">
        <v>6</v>
      </c>
      <c r="D33" s="2" t="n">
        <v>160</v>
      </c>
      <c r="E33" s="10" t="n">
        <v>10.5</v>
      </c>
      <c r="F33" s="10">
        <f>E33*2.5</f>
        <v/>
      </c>
    </row>
    <row r="34">
      <c r="A34" s="6" t="n">
        <v>33</v>
      </c>
      <c r="B34" s="2" t="n">
        <v>8</v>
      </c>
      <c r="C34" s="2" t="n">
        <v>7</v>
      </c>
      <c r="D34" s="2" t="n">
        <v>71</v>
      </c>
      <c r="E34" s="10" t="n">
        <v>5.8</v>
      </c>
      <c r="F34" s="10">
        <f>E34*2.5</f>
        <v/>
      </c>
    </row>
    <row r="35">
      <c r="A35" s="6" t="n">
        <v>34</v>
      </c>
      <c r="B35" s="2" t="n">
        <v>9</v>
      </c>
      <c r="C35" s="2" t="n">
        <v>8</v>
      </c>
      <c r="D35" s="2" t="n">
        <v>105</v>
      </c>
      <c r="E35" s="10" t="n">
        <v>11</v>
      </c>
      <c r="F35" s="10">
        <f>E35*2.5</f>
        <v/>
      </c>
    </row>
    <row r="36">
      <c r="A36" s="6" t="n">
        <v>35</v>
      </c>
      <c r="B36" s="2" t="n">
        <v>10</v>
      </c>
      <c r="C36" s="2" t="n">
        <v>9</v>
      </c>
      <c r="D36" s="2" t="n">
        <v>73</v>
      </c>
      <c r="E36" s="10" t="n">
        <v>5.9</v>
      </c>
      <c r="F36" s="10">
        <f>E36*2.5</f>
        <v/>
      </c>
    </row>
    <row r="37">
      <c r="A37" s="6" t="n">
        <v>36</v>
      </c>
      <c r="B37" s="2" t="n">
        <v>11</v>
      </c>
      <c r="C37" s="2" t="n">
        <v>7</v>
      </c>
      <c r="D37" s="2" t="n">
        <v>140</v>
      </c>
      <c r="E37" s="10" t="n">
        <v>6.3</v>
      </c>
      <c r="F37" s="10">
        <f>E37*2.5</f>
        <v/>
      </c>
    </row>
    <row r="38">
      <c r="A38" s="6" t="n">
        <v>37</v>
      </c>
      <c r="B38" s="2" t="n">
        <v>11</v>
      </c>
      <c r="C38" s="2" t="n">
        <v>8</v>
      </c>
      <c r="D38" s="2" t="n">
        <v>76</v>
      </c>
      <c r="E38" s="10" t="n">
        <v>5.7</v>
      </c>
      <c r="F38" s="10">
        <f>E38*2.5</f>
        <v/>
      </c>
    </row>
    <row r="39">
      <c r="A39" s="6" t="n">
        <v>38</v>
      </c>
      <c r="B39" s="2" t="n">
        <v>12</v>
      </c>
      <c r="C39" s="2" t="n">
        <v>9</v>
      </c>
      <c r="D39" s="2" t="n">
        <v>72</v>
      </c>
      <c r="E39" s="10" t="n">
        <v>5.8</v>
      </c>
      <c r="F39" s="10">
        <f>E39*2.5</f>
        <v/>
      </c>
    </row>
    <row r="40">
      <c r="A40" s="6" t="n">
        <v>39</v>
      </c>
      <c r="B40" s="2" t="n">
        <v>10</v>
      </c>
      <c r="C40" s="2" t="n">
        <v>12</v>
      </c>
      <c r="D40" s="2" t="n">
        <v>148</v>
      </c>
      <c r="E40" s="10" t="n">
        <v>6.1</v>
      </c>
      <c r="F40" s="10">
        <f>E40*2.5</f>
        <v/>
      </c>
    </row>
    <row r="41">
      <c r="A41" s="6" t="n">
        <v>40</v>
      </c>
      <c r="B41" s="2" t="n">
        <v>12</v>
      </c>
      <c r="C41" s="2" t="n">
        <v>11</v>
      </c>
      <c r="D41" s="2" t="n">
        <v>160</v>
      </c>
      <c r="E41" s="10" t="n">
        <v>9.800000000000001</v>
      </c>
      <c r="F41" s="10">
        <f>E41*2.5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235" zoomScaleNormal="235" workbookViewId="0">
      <selection activeCell="E9" sqref="E9"/>
    </sheetView>
  </sheetViews>
  <sheetFormatPr baseColWidth="8" defaultColWidth="9" defaultRowHeight="13.7"/>
  <cols>
    <col width="9" customWidth="1" style="5" min="1" max="2"/>
    <col width="13.8918918918919" customWidth="1" style="5" min="3" max="3"/>
    <col width="9.18018018018018" customWidth="1" style="5" min="4" max="4"/>
    <col width="9" customWidth="1" style="5" min="5" max="16384"/>
  </cols>
  <sheetData>
    <row r="1" ht="14.1" customHeight="1" s="11">
      <c r="A1" s="2" t="n"/>
      <c r="B1" s="2" t="inlineStr">
        <is>
          <t>link-i</t>
        </is>
      </c>
      <c r="C1" s="2" t="inlineStr">
        <is>
          <t>link-j</t>
        </is>
      </c>
      <c r="D1" s="2" t="inlineStr">
        <is>
          <t>demand1</t>
        </is>
      </c>
      <c r="E1" s="2" t="inlineStr">
        <is>
          <t>demand2</t>
        </is>
      </c>
      <c r="F1" t="inlineStr">
        <is>
          <t>demand3</t>
        </is>
      </c>
      <c r="G1" t="inlineStr">
        <is>
          <t>demand4</t>
        </is>
      </c>
      <c r="H1" t="inlineStr">
        <is>
          <t>demand5</t>
        </is>
      </c>
    </row>
    <row r="2" ht="14.1" customHeight="1" s="11">
      <c r="A2" s="2" t="n">
        <v>1</v>
      </c>
      <c r="B2" s="2" t="n">
        <v>1</v>
      </c>
      <c r="C2" s="2" t="n">
        <v>6</v>
      </c>
      <c r="D2" s="2" t="n">
        <v>50</v>
      </c>
      <c r="E2" s="2" t="n">
        <v>45</v>
      </c>
      <c r="F2" t="n">
        <v>82</v>
      </c>
      <c r="G2" t="n">
        <v>27</v>
      </c>
      <c r="H2" t="n">
        <v>62</v>
      </c>
    </row>
    <row r="3" ht="14.1" customHeight="1" s="11">
      <c r="A3" s="2" t="n">
        <v>2</v>
      </c>
      <c r="B3" s="2" t="n">
        <v>1</v>
      </c>
      <c r="C3" s="2" t="n">
        <v>10</v>
      </c>
      <c r="D3" s="2" t="n">
        <v>80</v>
      </c>
      <c r="E3" s="2" t="n">
        <v>62</v>
      </c>
      <c r="F3" t="n">
        <v>146</v>
      </c>
      <c r="G3" t="n">
        <v>35</v>
      </c>
      <c r="H3" t="n">
        <v>63</v>
      </c>
    </row>
    <row r="4" ht="14.1" customHeight="1" s="11">
      <c r="A4" s="2" t="n">
        <v>3</v>
      </c>
      <c r="B4" s="2" t="n">
        <v>3</v>
      </c>
      <c r="C4" s="2" t="n">
        <v>6</v>
      </c>
      <c r="D4" s="2" t="n">
        <v>50</v>
      </c>
      <c r="E4" s="2" t="n">
        <v>13</v>
      </c>
      <c r="F4" t="n">
        <v>81</v>
      </c>
      <c r="G4" t="n">
        <v>28</v>
      </c>
      <c r="H4" t="n">
        <v>17</v>
      </c>
    </row>
    <row r="5" ht="14.1" customHeight="1" s="11">
      <c r="A5" s="2" t="n">
        <v>4</v>
      </c>
      <c r="B5" s="2" t="n">
        <v>3</v>
      </c>
      <c r="C5" s="2" t="n">
        <v>10</v>
      </c>
      <c r="D5" s="2" t="n">
        <v>65</v>
      </c>
      <c r="E5" s="2" t="n">
        <v>24</v>
      </c>
      <c r="F5" t="n">
        <v>107</v>
      </c>
      <c r="G5" t="n">
        <v>29</v>
      </c>
      <c r="H5" t="n">
        <v>53</v>
      </c>
    </row>
    <row r="6" ht="14.1" customHeight="1" s="11">
      <c r="A6" s="2" t="n">
        <v>5</v>
      </c>
      <c r="B6" s="2" t="n">
        <v>2</v>
      </c>
      <c r="C6" s="2" t="n">
        <v>12</v>
      </c>
      <c r="D6" s="2" t="n">
        <v>50</v>
      </c>
      <c r="E6" s="2" t="n">
        <v>39</v>
      </c>
      <c r="F6" t="n">
        <v>67</v>
      </c>
      <c r="G6" t="n">
        <v>21</v>
      </c>
      <c r="H6" t="n">
        <v>43</v>
      </c>
    </row>
    <row r="7" ht="14.1" customHeight="1" s="11">
      <c r="A7" s="2" t="n">
        <v>6</v>
      </c>
      <c r="B7" s="2" t="n">
        <v>2</v>
      </c>
      <c r="C7" s="2" t="n">
        <v>11</v>
      </c>
      <c r="D7" s="2" t="n">
        <v>80</v>
      </c>
      <c r="E7" s="2" t="n">
        <v>82</v>
      </c>
      <c r="F7" t="n">
        <v>108</v>
      </c>
      <c r="G7" t="n">
        <v>42</v>
      </c>
      <c r="H7" t="n">
        <v>118</v>
      </c>
    </row>
    <row r="8" ht="14.1" customHeight="1" s="11">
      <c r="A8" s="2" t="n">
        <v>7</v>
      </c>
      <c r="B8" s="2" t="n">
        <v>7</v>
      </c>
      <c r="C8" s="2" t="n">
        <v>6</v>
      </c>
      <c r="D8" s="2" t="n">
        <v>30</v>
      </c>
      <c r="E8" s="2" t="n">
        <v>69</v>
      </c>
      <c r="F8" t="n">
        <v>41</v>
      </c>
      <c r="G8" t="n">
        <v>14</v>
      </c>
      <c r="H8" t="n">
        <v>48</v>
      </c>
    </row>
    <row r="9" ht="14.1" customHeight="1" s="11">
      <c r="A9" s="2" t="n">
        <v>8</v>
      </c>
      <c r="B9" s="2" t="n">
        <v>7</v>
      </c>
      <c r="C9" s="2" t="n">
        <v>10</v>
      </c>
      <c r="D9" s="2" t="n">
        <v>50</v>
      </c>
      <c r="E9" s="2" t="n">
        <v>166</v>
      </c>
      <c r="F9" t="n">
        <v>77</v>
      </c>
      <c r="G9" t="n">
        <v>31</v>
      </c>
      <c r="H9" t="n">
        <v>134</v>
      </c>
    </row>
    <row r="10" ht="14.1" customHeight="1" s="11">
      <c r="A10" s="2" t="n"/>
      <c r="B10" s="2" t="n"/>
      <c r="C10" s="2" t="n"/>
      <c r="D10" s="2" t="n"/>
      <c r="E10" s="0" t="n"/>
    </row>
    <row r="11" ht="14.1" customHeight="1" s="11">
      <c r="A11" s="2" t="n"/>
      <c r="B11" s="2" t="n"/>
      <c r="C11" s="2" t="n"/>
      <c r="D11" s="2" t="n"/>
    </row>
    <row r="12" ht="14.1" customHeight="1" s="11">
      <c r="A12" s="2" t="n"/>
      <c r="B12" s="2" t="n"/>
      <c r="C12" s="2" t="n"/>
      <c r="D12" s="2" t="n"/>
    </row>
    <row r="13" ht="14.1" customHeight="1" s="11">
      <c r="A13" s="2" t="n"/>
      <c r="B13" s="2" t="n"/>
      <c r="C13" s="2" t="n"/>
      <c r="D13" s="2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75" zoomScaleNormal="175" workbookViewId="0">
      <selection activeCell="B10" sqref="B10"/>
    </sheetView>
  </sheetViews>
  <sheetFormatPr baseColWidth="8" defaultColWidth="8.61261261261261" defaultRowHeight="14.1"/>
  <cols>
    <col width="12.7837837837838" customWidth="1" style="11" min="2" max="3"/>
  </cols>
  <sheetData>
    <row r="1">
      <c r="A1" s="2" t="inlineStr">
        <is>
          <t>Hour</t>
        </is>
      </c>
      <c r="B1" s="2" t="inlineStr">
        <is>
          <t>demand</t>
        </is>
      </c>
    </row>
    <row r="2">
      <c r="A2" s="2" t="n">
        <v>1</v>
      </c>
      <c r="B2" s="12" t="n">
        <v>0.5205905493148481</v>
      </c>
    </row>
    <row r="3">
      <c r="A3" s="2" t="n">
        <v>2</v>
      </c>
      <c r="B3" s="12" t="n">
        <v>0.525155710014194</v>
      </c>
    </row>
    <row r="4">
      <c r="A4" s="2" t="n">
        <v>3</v>
      </c>
      <c r="B4" s="12" t="n">
        <v>0.552247916096854</v>
      </c>
    </row>
    <row r="5">
      <c r="A5" s="2" t="n">
        <v>4</v>
      </c>
      <c r="B5" s="12" t="n">
        <v>0.664525458948574</v>
      </c>
    </row>
    <row r="6">
      <c r="A6" s="2" t="n">
        <v>5</v>
      </c>
      <c r="B6" s="12" t="n">
        <v>0.984110556036176</v>
      </c>
    </row>
    <row r="7">
      <c r="A7" s="2" t="n">
        <v>6</v>
      </c>
      <c r="B7" s="12" t="n">
        <v>1.58790732296897</v>
      </c>
    </row>
    <row r="8">
      <c r="A8" s="2" t="n">
        <v>7</v>
      </c>
      <c r="B8" s="12" t="n">
        <v>2.2806816037125</v>
      </c>
    </row>
    <row r="9">
      <c r="A9" s="2" t="n">
        <v>8</v>
      </c>
      <c r="B9" s="12" t="n">
        <v>2.6</v>
      </c>
    </row>
    <row r="10">
      <c r="A10" s="2" t="n">
        <v>9</v>
      </c>
      <c r="B10" s="12" t="n">
        <v>2.28068803684488</v>
      </c>
    </row>
    <row r="11">
      <c r="A11" s="2" t="n">
        <v>10</v>
      </c>
      <c r="B11" s="12" t="n">
        <v>1.58797676831208</v>
      </c>
    </row>
    <row r="12">
      <c r="A12" s="2" t="n">
        <v>11</v>
      </c>
      <c r="B12" s="12" t="n">
        <v>0.98469202444687</v>
      </c>
    </row>
    <row r="13">
      <c r="A13" s="2" t="n">
        <v>12</v>
      </c>
      <c r="B13" s="12" t="n">
        <v>0.668317109536644</v>
      </c>
    </row>
    <row r="14">
      <c r="A14" s="2" t="n">
        <v>13</v>
      </c>
      <c r="B14" s="12" t="n">
        <v>0.571503506630986</v>
      </c>
    </row>
    <row r="15">
      <c r="A15" s="2" t="n">
        <v>14</v>
      </c>
      <c r="B15" s="12" t="n">
        <v>0.60131304792192</v>
      </c>
    </row>
    <row r="16">
      <c r="A16" s="2" t="n">
        <v>15</v>
      </c>
      <c r="B16" s="12" t="n">
        <v>0.7551716647069679</v>
      </c>
    </row>
    <row r="17">
      <c r="A17" s="2" t="n">
        <v>16</v>
      </c>
      <c r="B17" s="12" t="n">
        <v>1.08277923148168</v>
      </c>
    </row>
    <row r="18">
      <c r="A18" s="2" t="n">
        <v>17</v>
      </c>
      <c r="B18" s="12" t="n">
        <v>1.57132237896959</v>
      </c>
    </row>
    <row r="19">
      <c r="A19" s="2" t="n">
        <v>18</v>
      </c>
      <c r="B19" s="12" t="n">
        <v>2.04966104910906</v>
      </c>
    </row>
    <row r="20">
      <c r="A20" s="2" t="n">
        <v>19</v>
      </c>
      <c r="B20" s="12" t="n">
        <v>2.25333293142576</v>
      </c>
    </row>
    <row r="21">
      <c r="A21" s="2" t="n">
        <v>20</v>
      </c>
      <c r="B21" s="12" t="n">
        <v>2.04966092901044</v>
      </c>
    </row>
    <row r="22">
      <c r="A22" s="2" t="n">
        <v>21</v>
      </c>
      <c r="B22" s="12" t="n">
        <v>1.57131952737642</v>
      </c>
    </row>
    <row r="23">
      <c r="A23" s="2" t="n">
        <v>22</v>
      </c>
      <c r="B23" s="12" t="n">
        <v>1.08273074856004</v>
      </c>
    </row>
    <row r="24">
      <c r="A24" s="2" t="n">
        <v>23</v>
      </c>
      <c r="B24" s="12" t="n">
        <v>0.754581021806748</v>
      </c>
    </row>
    <row r="25">
      <c r="A25" s="2" t="n">
        <v>24</v>
      </c>
      <c r="B25" s="12" t="n">
        <v>0.596157244322354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90" zoomScaleNormal="190" workbookViewId="0">
      <selection activeCell="C3" sqref="C3"/>
    </sheetView>
  </sheetViews>
  <sheetFormatPr baseColWidth="8" defaultColWidth="8.61261261261261" defaultRowHeight="14.1"/>
  <sheetData>
    <row r="1">
      <c r="A1" s="2" t="inlineStr">
        <is>
          <t>price</t>
        </is>
      </c>
    </row>
    <row r="2">
      <c r="A2" s="12" t="n">
        <v>0.892418032786885</v>
      </c>
    </row>
    <row r="3">
      <c r="A3" s="12" t="n">
        <v>0.892418032786885</v>
      </c>
    </row>
    <row r="4">
      <c r="A4" s="12" t="n">
        <v>0.892418032786885</v>
      </c>
    </row>
    <row r="5">
      <c r="A5" s="12" t="n">
        <v>0.486680327868853</v>
      </c>
    </row>
    <row r="6">
      <c r="A6" s="12" t="n">
        <v>0.486680327868853</v>
      </c>
    </row>
    <row r="7">
      <c r="A7" s="12" t="n">
        <v>0.486680327868853</v>
      </c>
    </row>
    <row r="8">
      <c r="A8" s="12" t="n">
        <v>0.486680327868853</v>
      </c>
    </row>
    <row r="9">
      <c r="A9" s="12" t="n">
        <v>0.486680327868853</v>
      </c>
    </row>
    <row r="10">
      <c r="A10" s="12" t="n">
        <v>1</v>
      </c>
    </row>
    <row r="11">
      <c r="A11" s="12" t="n">
        <v>1</v>
      </c>
    </row>
    <row r="12">
      <c r="A12" s="12" t="n">
        <v>0.3</v>
      </c>
    </row>
    <row r="13">
      <c r="A13" s="12" t="n">
        <v>0.3</v>
      </c>
    </row>
    <row r="14">
      <c r="A14" s="12" t="n">
        <v>0.3</v>
      </c>
    </row>
    <row r="15">
      <c r="A15" s="12" t="n">
        <v>0.892418032786885</v>
      </c>
    </row>
    <row r="16">
      <c r="A16" s="12" t="n">
        <v>0.892418032786885</v>
      </c>
    </row>
    <row r="17">
      <c r="A17" s="12" t="n">
        <v>0.892418032786885</v>
      </c>
    </row>
    <row r="18">
      <c r="A18" s="12" t="n">
        <v>1</v>
      </c>
    </row>
    <row r="19">
      <c r="A19" s="12" t="n">
        <v>1</v>
      </c>
    </row>
    <row r="20">
      <c r="A20" s="12" t="n">
        <v>1</v>
      </c>
    </row>
    <row r="21">
      <c r="A21" s="12" t="n">
        <v>1</v>
      </c>
    </row>
    <row r="22">
      <c r="A22" s="12" t="n">
        <v>1</v>
      </c>
    </row>
    <row r="23">
      <c r="A23" s="12" t="n">
        <v>0.892418032786885</v>
      </c>
    </row>
    <row r="24">
      <c r="A24" s="12" t="n">
        <v>0.892418032786885</v>
      </c>
    </row>
    <row r="25">
      <c r="A25" s="12" t="n">
        <v>0.892418032786885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60" zoomScaleNormal="160" workbookViewId="0">
      <selection activeCell="A1" sqref="A1:D17"/>
    </sheetView>
  </sheetViews>
  <sheetFormatPr baseColWidth="8" defaultColWidth="8.61261261261261" defaultRowHeight="14.1"/>
  <sheetData>
    <row r="1">
      <c r="A1" s="2" t="n"/>
      <c r="B1" s="2" t="inlineStr">
        <is>
          <t>link-i</t>
        </is>
      </c>
      <c r="C1" s="2" t="inlineStr">
        <is>
          <t>link-j</t>
        </is>
      </c>
      <c r="D1" s="2" t="inlineStr">
        <is>
          <t>demand</t>
        </is>
      </c>
    </row>
    <row r="2">
      <c r="A2" s="2" t="n">
        <v>1</v>
      </c>
      <c r="B2" s="2" t="n">
        <v>1</v>
      </c>
      <c r="C2" s="2" t="n">
        <v>6</v>
      </c>
      <c r="D2" s="2" t="n">
        <v>0.25</v>
      </c>
    </row>
    <row r="3">
      <c r="A3" s="2" t="n">
        <v>2</v>
      </c>
      <c r="B3" s="2" t="n">
        <v>1</v>
      </c>
      <c r="C3" s="2" t="n">
        <v>10</v>
      </c>
      <c r="D3" s="2" t="n">
        <v>0.4</v>
      </c>
    </row>
    <row r="4">
      <c r="A4" s="2" t="n">
        <v>3</v>
      </c>
      <c r="B4" s="2" t="n">
        <v>1</v>
      </c>
      <c r="C4" s="2" t="n">
        <v>12</v>
      </c>
      <c r="D4" s="2" t="n">
        <v>0.15</v>
      </c>
    </row>
    <row r="5">
      <c r="A5" s="2" t="n">
        <v>4</v>
      </c>
      <c r="B5" s="2" t="n">
        <v>1</v>
      </c>
      <c r="C5" s="2" t="n">
        <v>11</v>
      </c>
      <c r="D5" s="2" t="n">
        <v>0.25</v>
      </c>
    </row>
    <row r="6">
      <c r="A6" s="2" t="n">
        <v>5</v>
      </c>
      <c r="B6" s="2" t="n">
        <v>3</v>
      </c>
      <c r="C6" s="2" t="n">
        <v>6</v>
      </c>
      <c r="D6" s="2" t="n">
        <v>0.25</v>
      </c>
    </row>
    <row r="7">
      <c r="A7" s="2" t="n">
        <v>6</v>
      </c>
      <c r="B7" s="2" t="n">
        <v>3</v>
      </c>
      <c r="C7" s="2" t="n">
        <v>10</v>
      </c>
      <c r="D7" s="2" t="n">
        <v>0.325</v>
      </c>
    </row>
    <row r="8">
      <c r="A8" s="2" t="n">
        <v>7</v>
      </c>
      <c r="B8" s="2" t="n">
        <v>3</v>
      </c>
      <c r="C8" s="2" t="n">
        <v>12</v>
      </c>
      <c r="D8" s="2" t="n">
        <v>0.125</v>
      </c>
    </row>
    <row r="9">
      <c r="A9" s="2" t="n">
        <v>8</v>
      </c>
      <c r="B9" s="2" t="n">
        <v>3</v>
      </c>
      <c r="C9" s="2" t="n">
        <v>11</v>
      </c>
      <c r="D9" s="2" t="n">
        <v>0.2</v>
      </c>
    </row>
    <row r="10">
      <c r="A10" s="2" t="n">
        <v>9</v>
      </c>
      <c r="B10" s="2" t="n">
        <v>2</v>
      </c>
      <c r="C10" s="2" t="n">
        <v>12</v>
      </c>
      <c r="D10" s="2" t="n">
        <v>0.25</v>
      </c>
    </row>
    <row r="11">
      <c r="A11" s="2" t="n">
        <v>10</v>
      </c>
      <c r="B11" s="2" t="n">
        <v>2</v>
      </c>
      <c r="C11" s="2" t="n">
        <v>11</v>
      </c>
      <c r="D11" s="2" t="n">
        <v>0.4</v>
      </c>
    </row>
    <row r="12">
      <c r="A12" s="2" t="n">
        <v>11</v>
      </c>
      <c r="B12" s="2" t="n">
        <v>7</v>
      </c>
      <c r="C12" s="2" t="n">
        <v>6</v>
      </c>
      <c r="D12" s="2" t="n">
        <v>0.15</v>
      </c>
    </row>
    <row r="13">
      <c r="A13" s="2" t="n">
        <v>12</v>
      </c>
      <c r="B13" s="2" t="n">
        <v>7</v>
      </c>
      <c r="C13" s="2" t="n">
        <v>10</v>
      </c>
      <c r="D13" s="2" t="n">
        <v>0.25</v>
      </c>
    </row>
    <row r="14">
      <c r="A14" s="2" t="n">
        <v>13</v>
      </c>
      <c r="B14" s="2" t="n">
        <v>4</v>
      </c>
      <c r="C14" s="2" t="n">
        <v>6</v>
      </c>
      <c r="D14" s="2" t="n">
        <v>0.25</v>
      </c>
    </row>
    <row r="15">
      <c r="A15" s="2" t="n">
        <v>14</v>
      </c>
      <c r="B15" s="2" t="n">
        <v>4</v>
      </c>
      <c r="C15" s="2" t="n">
        <v>10</v>
      </c>
      <c r="D15" s="2" t="n">
        <v>0.325</v>
      </c>
    </row>
    <row r="16">
      <c r="A16" s="2" t="n">
        <v>15</v>
      </c>
      <c r="B16" s="2" t="n">
        <v>5</v>
      </c>
      <c r="C16" s="2" t="n">
        <v>12</v>
      </c>
      <c r="D16" s="2" t="n">
        <v>0.125</v>
      </c>
    </row>
    <row r="17">
      <c r="A17" s="2" t="n">
        <v>16</v>
      </c>
      <c r="B17" s="2" t="n">
        <v>5</v>
      </c>
      <c r="C17" s="2" t="n">
        <v>11</v>
      </c>
      <c r="D17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2023-05-12T11:15:00Z</dcterms:created>
  <dcterms:modified xsi:type="dcterms:W3CDTF">2026-04-06T09:18:19Z</dcterms:modified>
  <cp:lastModifiedBy>seu_ipp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